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\Downloads\"/>
    </mc:Choice>
  </mc:AlternateContent>
  <xr:revisionPtr revIDLastSave="0" documentId="13_ncr:1_{A90B3D3E-B040-43F9-AF1B-D525C1DFA4F3}" xr6:coauthVersionLast="47" xr6:coauthVersionMax="47" xr10:uidLastSave="{00000000-0000-0000-0000-000000000000}"/>
  <bookViews>
    <workbookView xWindow="0" yWindow="0" windowWidth="10245" windowHeight="10920" xr2:uid="{E3F32210-6D0D-4A27-87AC-E48BB7896E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2" i="1"/>
</calcChain>
</file>

<file path=xl/sharedStrings.xml><?xml version="1.0" encoding="utf-8"?>
<sst xmlns="http://schemas.openxmlformats.org/spreadsheetml/2006/main" count="415" uniqueCount="347">
  <si>
    <t>District Name</t>
  </si>
  <si>
    <t>District Code</t>
  </si>
  <si>
    <t>Administrative Division</t>
  </si>
  <si>
    <t>Headquarters</t>
  </si>
  <si>
    <t>Number of Talukas</t>
  </si>
  <si>
    <t>Area (in sq. km)</t>
  </si>
  <si>
    <t>Population (Census 2011)</t>
  </si>
  <si>
    <t>Population Density (per sq. km)</t>
  </si>
  <si>
    <t>Sex Ratio</t>
  </si>
  <si>
    <t>Literacy Rate (%)</t>
  </si>
  <si>
    <t>Urban Population (%)</t>
  </si>
  <si>
    <t>Formation Date</t>
  </si>
  <si>
    <t>Geographical Coordinates (Latitude and Longitude)</t>
  </si>
  <si>
    <t>Major River(s)</t>
  </si>
  <si>
    <t>Major Crop(s)</t>
  </si>
  <si>
    <t>Key Industries/Economy</t>
  </si>
  <si>
    <t>Tourist Attractions</t>
  </si>
  <si>
    <t>Pune</t>
  </si>
  <si>
    <t>PU</t>
  </si>
  <si>
    <t>Pune Division</t>
  </si>
  <si>
    <t>86.15</t>
  </si>
  <si>
    <t>60.5</t>
  </si>
  <si>
    <t>Bhima, Mula, Mutha, Indrayani</t>
  </si>
  <si>
    <t>Sugarcane, Jowar, Bajra, Grapes, Onions</t>
  </si>
  <si>
    <t>IT &amp; ITeS, Automotive, Manufacturing, Education, Floriculture</t>
  </si>
  <si>
    <t>Shaniwar Wada, Aga Khan Palace, Sinhagad Fort, Lonavala-Khandala</t>
  </si>
  <si>
    <t>Satara</t>
  </si>
  <si>
    <t>ST</t>
  </si>
  <si>
    <t>82.87</t>
  </si>
  <si>
    <t>21.9</t>
  </si>
  <si>
    <t>Krishna, Koyna, Venna</t>
  </si>
  <si>
    <t>Sugarcane, Jowar, Soybean, Turmeric</t>
  </si>
  <si>
    <t>Agriculture, Wind Power, Sugar Factories, Tourism</t>
  </si>
  <si>
    <t>Kaas Plateau, Mahabaleshwar, Panchgani, Thoseghar Waterfall</t>
  </si>
  <si>
    <t>Sangli</t>
  </si>
  <si>
    <t>SN</t>
  </si>
  <si>
    <t>81.48</t>
  </si>
  <si>
    <t>25.5</t>
  </si>
  <si>
    <t>Krishna, Warana</t>
  </si>
  <si>
    <t>Sugarcane, Grapes, Turmeric, Jowar</t>
  </si>
  <si>
    <t>Sugar Production, Turmeric Processing, Textiles, Wine Industry</t>
  </si>
  <si>
    <t>Sagareshwar Wildlife Sanctuary, Chandoli National Park, Sangli Fort</t>
  </si>
  <si>
    <t>Solapur</t>
  </si>
  <si>
    <t>SO</t>
  </si>
  <si>
    <t>77.02</t>
  </si>
  <si>
    <t>32.4</t>
  </si>
  <si>
    <t>Bhima, Sina, Man</t>
  </si>
  <si>
    <t>Jowar, Sugarcane, Pomegranate, Pulses</t>
  </si>
  <si>
    <t>Textiles (Chaddars), Sugar Factories, Beedi Industry, Agriculture</t>
  </si>
  <si>
    <t>Siddheshwar Temple, Akkalkot Swami Samarth Maharaj Temple, Pandharpur Vithoba Temple</t>
  </si>
  <si>
    <t>Kolhapur</t>
  </si>
  <si>
    <t>KO</t>
  </si>
  <si>
    <t>81.51</t>
  </si>
  <si>
    <t>31.7</t>
  </si>
  <si>
    <t>Panchganga, Krishna, Dudhganga</t>
  </si>
  <si>
    <t>Sugarcane, Rice, Soybean, Jaggery</t>
  </si>
  <si>
    <t>Sugar Mills, Foundries, Textiles, Kolhapuri Chappal, Film Industry</t>
  </si>
  <si>
    <t>Mahalakshmi Temple, Panhala Fort, Jyotiba Temple, Rankala Lake</t>
  </si>
  <si>
    <t>Mumbai City</t>
  </si>
  <si>
    <t>MC</t>
  </si>
  <si>
    <t>Konkan Division</t>
  </si>
  <si>
    <t>Mumbai</t>
  </si>
  <si>
    <t>89.21</t>
  </si>
  <si>
    <t>100.0</t>
  </si>
  <si>
    <t>Mithi</t>
  </si>
  <si>
    <t>None</t>
  </si>
  <si>
    <t>Finance, Commerce, Entertainment (Bollywood), Ports, Services</t>
  </si>
  <si>
    <t>Gateway of India, Marine Drive, Siddhivinayak Temple, Elephanta Caves</t>
  </si>
  <si>
    <t>Mumbai Suburban</t>
  </si>
  <si>
    <t>MS</t>
  </si>
  <si>
    <t>Bandra (East)</t>
  </si>
  <si>
    <t>89.91</t>
  </si>
  <si>
    <t>Mithi, Oshiwara, Dahisar</t>
  </si>
  <si>
    <t>IT, Services, Residential Hubs, Small Scale Industries</t>
  </si>
  <si>
    <t>Juhu Beach, Film City, Sanjay Gandhi National Park, Bandra-Worli Sea Link</t>
  </si>
  <si>
    <t>Thane</t>
  </si>
  <si>
    <t>TH</t>
  </si>
  <si>
    <t>84.53</t>
  </si>
  <si>
    <t>77.0</t>
  </si>
  <si>
    <t>Ulhas, Vaitarna</t>
  </si>
  <si>
    <t>Rice, Vegetables, Fruits</t>
  </si>
  <si>
    <t>Manufacturing, Chemicals, Pharmaceuticals, Engineering</t>
  </si>
  <si>
    <t>Upvan Lake, Kelwa Beach, Titwala Ganesh Mandir, Thane Creek Flamingo Sanctuary</t>
  </si>
  <si>
    <t>Palghar</t>
  </si>
  <si>
    <t>PL</t>
  </si>
  <si>
    <t>77.00</t>
  </si>
  <si>
    <t>50.1</t>
  </si>
  <si>
    <t>Vaitarna, Surya, Pinjal</t>
  </si>
  <si>
    <t>Rice, Chickoo, Coconut</t>
  </si>
  <si>
    <t>Fishing, Agriculture, Industrial Estates (Boisar), Warli Painting</t>
  </si>
  <si>
    <t>Dahanu-Bordi Beach, Kelwa Dam, Jivdani Temple (Virar), Warli Art Villages</t>
  </si>
  <si>
    <t>Raigad</t>
  </si>
  <si>
    <t>RG</t>
  </si>
  <si>
    <t>Alibag</t>
  </si>
  <si>
    <t>83.14</t>
  </si>
  <si>
    <t>24.9</t>
  </si>
  <si>
    <t>Patalganga, Amba, Savitri</t>
  </si>
  <si>
    <t>Rice, Mango, Cashew Nut, Coconut</t>
  </si>
  <si>
    <t>Chemicals, Petrochemicals, Steel, Tourism, Ports (JNPT)</t>
  </si>
  <si>
    <t>Raigad Fort, Murud-Janjira Fort, Alibag Beach, Karnala Bird Sanctuary</t>
  </si>
  <si>
    <t>Ratnagiri</t>
  </si>
  <si>
    <t>RT</t>
  </si>
  <si>
    <t>82.43</t>
  </si>
  <si>
    <t>16.3</t>
  </si>
  <si>
    <t>Shastri, Vashishti, Kajali</t>
  </si>
  <si>
    <t>Alphonso Mango, Rice, Cashew Nut, Coconut</t>
  </si>
  <si>
    <t>Horticulture, Fishing, Food Processing, Tourism</t>
  </si>
  <si>
    <t>Ganpatipule Temple, Jaigad Fort, Ratnadurg Fort, Guhagar Beach</t>
  </si>
  <si>
    <t>Sindhudurg</t>
  </si>
  <si>
    <t>SI</t>
  </si>
  <si>
    <t>Oros</t>
  </si>
  <si>
    <t>85.56</t>
  </si>
  <si>
    <t>12.6</t>
  </si>
  <si>
    <t>Karli, Terekhol, Gad</t>
  </si>
  <si>
    <t>Alphonso Mango, Cashew Nut, Coconut, Kokum, Rice</t>
  </si>
  <si>
    <t>Tourism, Fishing, Horticulture, Food Processing</t>
  </si>
  <si>
    <t>Sindhudurg Fort, Tarkarli Beach, Amboli Ghat, Malvan Marine Sanctuary</t>
  </si>
  <si>
    <t>Nashik</t>
  </si>
  <si>
    <t>NS</t>
  </si>
  <si>
    <t>Nashik Division</t>
  </si>
  <si>
    <t>82.31</t>
  </si>
  <si>
    <t>42.5</t>
  </si>
  <si>
    <t>Godavari, Girna, Darna</t>
  </si>
  <si>
    <t>Grapes, Onions, Pomegranate, Sugarcane</t>
  </si>
  <si>
    <t>Wine Industry, Agriculture, HAL (Aerospace), Religious Tourism</t>
  </si>
  <si>
    <t>Trimbakeshwar Shiva Temple, Panchavati, Sula Vineyards, Pandavleni Caves</t>
  </si>
  <si>
    <t>Ahilyanagar</t>
  </si>
  <si>
    <t>AH</t>
  </si>
  <si>
    <t>79.05</t>
  </si>
  <si>
    <t>Pravara, Mula, Godavari</t>
  </si>
  <si>
    <t>Sugarcane, Jowar, Bajra, Pulses</t>
  </si>
  <si>
    <t>Sugar Factories, Agriculture, Dairy, Military Establishments</t>
  </si>
  <si>
    <t>Shirdi Sai Baba Temple, Shani Shingnapur, Ahmednagar Fort, Bhandardara Dam</t>
  </si>
  <si>
    <t>Dhule</t>
  </si>
  <si>
    <t>DH</t>
  </si>
  <si>
    <t>72.80</t>
  </si>
  <si>
    <t>31.6</t>
  </si>
  <si>
    <t>Tapi, Panjhra</t>
  </si>
  <si>
    <t>Cotton, Jowar, Chilli, Groundnut</t>
  </si>
  <si>
    <t>Textile Mills, Edible Oil Mills, Agriculture</t>
  </si>
  <si>
    <t>Laling Fort, Ekvira Devi Temple, Toranmal Hill Station (nearby)</t>
  </si>
  <si>
    <t>Jalgaon</t>
  </si>
  <si>
    <t>JG</t>
  </si>
  <si>
    <t>78.20</t>
  </si>
  <si>
    <t>Tapi, Girna, Waghur</t>
  </si>
  <si>
    <t>Banana, Cotton, Jowar, Pulses</t>
  </si>
  <si>
    <t>Banana Farming, Gold Market, PVC Pipes, Drip Irrigation Mfg.</t>
  </si>
  <si>
    <t>Ajanta Caves (nearby), Swinging Towers of Farkande, Padmalaya Ganesh Temple</t>
  </si>
  <si>
    <t>Nandurbar</t>
  </si>
  <si>
    <t>NB</t>
  </si>
  <si>
    <t>64.38</t>
  </si>
  <si>
    <t>16.7</t>
  </si>
  <si>
    <t>Narmada, Tapi</t>
  </si>
  <si>
    <t>Jowar, Cotton, Chilli, Maize</t>
  </si>
  <si>
    <t>Agriculture, Forestry, Small Scale Industries</t>
  </si>
  <si>
    <t>Toranmal Hill Station, Astamba Dongar, Prakasha (Dakshin Kashi)</t>
  </si>
  <si>
    <t>Chhatrapati Sambhaji Nagar</t>
  </si>
  <si>
    <t>CSN</t>
  </si>
  <si>
    <t>Chhatrapati Sambhaji Nagar Division</t>
  </si>
  <si>
    <t>79.02</t>
  </si>
  <si>
    <t>43.8</t>
  </si>
  <si>
    <t>Godavari, Purna, Dudhna</t>
  </si>
  <si>
    <t>Cotton, Maize, Jowar, Bajra</t>
  </si>
  <si>
    <t>Automotive, Pharmaceuticals, Seed Production, Tourism, Himroo Shawls</t>
  </si>
  <si>
    <t>Ajanta &amp; Ellora Caves, Bibi Ka Maqbara, Daulatabad Fort, Grishneshwar Jyotirlinga</t>
  </si>
  <si>
    <t>Jalna</t>
  </si>
  <si>
    <t>JN</t>
  </si>
  <si>
    <t>71.53</t>
  </si>
  <si>
    <t>19.3</t>
  </si>
  <si>
    <t>Sweet Orange (Mosambi), Cotton, Jowar</t>
  </si>
  <si>
    <t>Seed Industry (Mahyco), Steel Re-rolling Mills, Agriculture</t>
  </si>
  <si>
    <t>Jalna Fort, Moti Talab, Jamb Samarth (Birthplace of Sant Ramdas)</t>
  </si>
  <si>
    <t>Beed</t>
  </si>
  <si>
    <t>BE</t>
  </si>
  <si>
    <t>76.99</t>
  </si>
  <si>
    <t>19.9</t>
  </si>
  <si>
    <t>Godavari, Sina, Manjara</t>
  </si>
  <si>
    <t>Cotton, Sugarcane, Jowar, Bajra</t>
  </si>
  <si>
    <t>Agriculture, Sugar Mills, Animal Husbandry</t>
  </si>
  <si>
    <t>Parli Vaijnath Jyotirlinga Temple, Kapildhar Waterfall, Khandoba Temple</t>
  </si>
  <si>
    <t>Latur</t>
  </si>
  <si>
    <t>LA</t>
  </si>
  <si>
    <t>77.26</t>
  </si>
  <si>
    <t>Manjara, Terna</t>
  </si>
  <si>
    <t>Soybean, Pulses (Tur), Grapes, Jowar</t>
  </si>
  <si>
    <t>Soybean Processing, Pulses Trading, Education ('Latur Pattern')</t>
  </si>
  <si>
    <t>Kharosa Caves, Udgir Fort, Ashtavinayak Temple at Latur</t>
  </si>
  <si>
    <t>Dharashiv</t>
  </si>
  <si>
    <t>DS</t>
  </si>
  <si>
    <t>78.44</t>
  </si>
  <si>
    <t>17.0</t>
  </si>
  <si>
    <t>Manjara, Terna, Bhogawati</t>
  </si>
  <si>
    <t>Jowar, Soybean, Pulses, Sugarcane</t>
  </si>
  <si>
    <t>Agriculture, Sugar Factories, Solapuri Chaddar weaving</t>
  </si>
  <si>
    <t>Tulja Bhavani Temple (Tuljapur), Dharashiv Caves, Naldurg Fort</t>
  </si>
  <si>
    <t>Hingoli</t>
  </si>
  <si>
    <t>HI</t>
  </si>
  <si>
    <t>78.17</t>
  </si>
  <si>
    <t>15.2</t>
  </si>
  <si>
    <t>Penganga, Kayadhu</t>
  </si>
  <si>
    <t>Cotton, Jowar, Turmeric, Soybean</t>
  </si>
  <si>
    <t>Agriculture, Turmeric Trading, Ginning Mills</t>
  </si>
  <si>
    <t>Aundha Nagnath Jyotirlinga Temple, Mallinath Digambar Jain Temple</t>
  </si>
  <si>
    <t>Parbhani</t>
  </si>
  <si>
    <t>PA</t>
  </si>
  <si>
    <t>73.34</t>
  </si>
  <si>
    <t>31.8</t>
  </si>
  <si>
    <t>Godavari, Dudhna, Purna</t>
  </si>
  <si>
    <t>Jowar, Cotton, Soybean</t>
  </si>
  <si>
    <t>Agriculture, Agricultural University, Ginning &amp; Pressing Factories</t>
  </si>
  <si>
    <t>Shri Sai Janmasthan Temple (Pathri), Hazarat Turabul Haq Shah Dargah</t>
  </si>
  <si>
    <t>Nanded</t>
  </si>
  <si>
    <t>ND</t>
  </si>
  <si>
    <t>75.45</t>
  </si>
  <si>
    <t>27.2</t>
  </si>
  <si>
    <t>Godavari, Penganga, Manjara</t>
  </si>
  <si>
    <t>Cotton, Soybean, Jowar, Banana</t>
  </si>
  <si>
    <t>Agriculture, Sugar Mills, Religious Tourism, Education</t>
  </si>
  <si>
    <t>Hazur Sahib Sachkhand Gurudwara, Mahur Renuka Devi Temple, Kandhar Fort</t>
  </si>
  <si>
    <t>Nagpur</t>
  </si>
  <si>
    <t>NG</t>
  </si>
  <si>
    <t>Nagpur Division</t>
  </si>
  <si>
    <t>88.39</t>
  </si>
  <si>
    <t>68.3</t>
  </si>
  <si>
    <t>Kanhan, Pench, Wardha</t>
  </si>
  <si>
    <t>Oranges, Cotton, Soybean, Rice</t>
  </si>
  <si>
    <t>Mining (Coal), Power Generation, Logistics Hub, IT, Food Processing</t>
  </si>
  <si>
    <t>Deekshabhoomi, Futala Lake, Ramtek Fort Temple, Pench Tiger Reserve</t>
  </si>
  <si>
    <t>Wardha</t>
  </si>
  <si>
    <t>WR</t>
  </si>
  <si>
    <t>86.99</t>
  </si>
  <si>
    <t>32.5</t>
  </si>
  <si>
    <t>Wardha, Vena, Bakli</t>
  </si>
  <si>
    <t>Cotton, Soybean, Pulses (Tur)</t>
  </si>
  <si>
    <t>Cotton Ginning &amp; Pressing, Textiles, Ordnance Factory, Soya Processing</t>
  </si>
  <si>
    <t>Sevagram Ashram (Gandhiji's Ashram), Paunar Ashram (Vinoba Bhave), Bor Tiger Reserve</t>
  </si>
  <si>
    <t>Bhandara</t>
  </si>
  <si>
    <t>BH</t>
  </si>
  <si>
    <t>83.76</t>
  </si>
  <si>
    <t>19.5</t>
  </si>
  <si>
    <t>Wainganga, Bawanthadi</t>
  </si>
  <si>
    <t>Rice, Jowar, Pulses</t>
  </si>
  <si>
    <t>Ordnance Factory, Brassware Industry, Rice Mills, Mining</t>
  </si>
  <si>
    <t>Koka Wildlife Sanctuary, Ambagad Fort, Rawanwadi Dam</t>
  </si>
  <si>
    <t>Gondia</t>
  </si>
  <si>
    <t>GO</t>
  </si>
  <si>
    <t>84.95</t>
  </si>
  <si>
    <t>17.1</t>
  </si>
  <si>
    <t>Wainganga, Bagh</t>
  </si>
  <si>
    <t>Rice, Pulses, Linseed</t>
  </si>
  <si>
    <t>Rice Mills ('Rice City'), Beedi Industry, Forestry, Fishing</t>
  </si>
  <si>
    <t>Navegaon National Park, Nagzira Wildlife Sanctuary, Itiadoh Dam</t>
  </si>
  <si>
    <t>Chandrapur</t>
  </si>
  <si>
    <t>CH</t>
  </si>
  <si>
    <t>80.01</t>
  </si>
  <si>
    <t>35.2</t>
  </si>
  <si>
    <t>Wardha, Wainganga, Penganga</t>
  </si>
  <si>
    <t>Cotton, Rice, Soybean, Pulses</t>
  </si>
  <si>
    <t>Coal Mining, Thermal Power Stations, Cement, Paper, Ferro-alloys</t>
  </si>
  <si>
    <t>Tadoba-Andhari Tiger Reserve, Mahakali Mandir, Anandwan (Dr. Baba Amte's project)</t>
  </si>
  <si>
    <t>Gadchiroli</t>
  </si>
  <si>
    <t>GA</t>
  </si>
  <si>
    <t>74.36</t>
  </si>
  <si>
    <t>11.0</t>
  </si>
  <si>
    <t>Godavari, Wainganga, Pranhita, Indravati</t>
  </si>
  <si>
    <t>Rice, Tendu Leaves, Bamboo, Mahua</t>
  </si>
  <si>
    <t>Forest Produce Collection, Tendu Leaf Processing, Mining (Iron Ore)</t>
  </si>
  <si>
    <t>Markanda Devasthan, Tribal Crafts, Vairagad Fort, Hemalkasa (Lok Biradari Prakalp)</t>
  </si>
  <si>
    <t>Amravati</t>
  </si>
  <si>
    <t>AM</t>
  </si>
  <si>
    <t>Amravati Division</t>
  </si>
  <si>
    <t>87.38</t>
  </si>
  <si>
    <t>35.9</t>
  </si>
  <si>
    <t>Tapi, Purna, Wardha</t>
  </si>
  <si>
    <t>Cotton, Soybean, Tur (Pigeon Pea), Oranges</t>
  </si>
  <si>
    <t>Textile Mills, Cotton Ginning, Food Processing, Education</t>
  </si>
  <si>
    <t>Melghat Tiger Reserve, Chikhaldara Hill Station, Ambadevi Temple</t>
  </si>
  <si>
    <t>Akola</t>
  </si>
  <si>
    <t>AK</t>
  </si>
  <si>
    <t>88.05</t>
  </si>
  <si>
    <t>44.0</t>
  </si>
  <si>
    <t>Purna, Katepurna, Uma</t>
  </si>
  <si>
    <t>Cotton, Jowar, Soybean, Pulses</t>
  </si>
  <si>
    <t>Cotton &amp; Textile Mills ('Cotton City'), Dal Mills, Oil Mills, Agriculture University</t>
  </si>
  <si>
    <t>Narnala Fort, Akola Fort, Balapur Fort, Katepurna Sanctuary</t>
  </si>
  <si>
    <t>Yavatmal</t>
  </si>
  <si>
    <t>YTL</t>
  </si>
  <si>
    <t>82.82</t>
  </si>
  <si>
    <t>21.6</t>
  </si>
  <si>
    <t>Penganga, Wardha</t>
  </si>
  <si>
    <t>Cotton, Soybean, Pulses</t>
  </si>
  <si>
    <t>Cotton Ginning &amp; Pressing, Cement Pipes, Coal Mines (Wani)</t>
  </si>
  <si>
    <t>Painganga Wildlife Sanctuary, Tipeshwar Wildlife Sanctuary, Kalamb (Shri Chintamani Ganesh)</t>
  </si>
  <si>
    <t>Buldhana</t>
  </si>
  <si>
    <t>BU</t>
  </si>
  <si>
    <t>83.40</t>
  </si>
  <si>
    <t>21.2</t>
  </si>
  <si>
    <t>Purna, Penganga, Nalganga</t>
  </si>
  <si>
    <t>Cotton, Jowar, Maize, Soybean</t>
  </si>
  <si>
    <t>Agriculture, Cotton Ginning, Seed companies</t>
  </si>
  <si>
    <t>Lonar Crater Lake (National Geo-heritage Monument), Shegaon (Gajanan Maharaj Temple)</t>
  </si>
  <si>
    <t>Washim</t>
  </si>
  <si>
    <t>WS</t>
  </si>
  <si>
    <t>83.25</t>
  </si>
  <si>
    <t>17.7</t>
  </si>
  <si>
    <t>Penganga</t>
  </si>
  <si>
    <t>Soybean, Cotton, Tur, Jowar</t>
  </si>
  <si>
    <t>Agriculture, Soybean Processing, Dal Mills</t>
  </si>
  <si>
    <t>Shri Balaji Mandir (Washim), Padmatirtha, Antariksha Parshwanath Jain Temple</t>
  </si>
  <si>
    <t>18.52° N, 73.85° E</t>
  </si>
  <si>
    <t>17.68° N, 74.01° E</t>
  </si>
  <si>
    <t>16.85° N, 74.58° E</t>
  </si>
  <si>
    <t>17.68° N, 75.90° E</t>
  </si>
  <si>
    <t>16.70° N, 74.24° E</t>
  </si>
  <si>
    <t>18.96° N, 72.82° E</t>
  </si>
  <si>
    <t>19.07° N, 72.87° E</t>
  </si>
  <si>
    <t>19.21° N, 72.97° E</t>
  </si>
  <si>
    <t>19.69° N, 72.77° E</t>
  </si>
  <si>
    <t>18.65° N, 73.07° E</t>
  </si>
  <si>
    <t>16.99° N, 73.30° E</t>
  </si>
  <si>
    <t>16.35° N, 73.56° E</t>
  </si>
  <si>
    <t>20.00° N, 73.78° E</t>
  </si>
  <si>
    <t>19.09° N, 74.74° E</t>
  </si>
  <si>
    <t>20.90° N, 74.77° E</t>
  </si>
  <si>
    <t>21.00° N, 75.56° E</t>
  </si>
  <si>
    <t>21.36° N, 74.24° E</t>
  </si>
  <si>
    <t>19.87° N, 75.34° E</t>
  </si>
  <si>
    <t>19.83° N, 75.88° E</t>
  </si>
  <si>
    <t>18.99° N, 75.76° E</t>
  </si>
  <si>
    <t>18.40° N, 76.58° E</t>
  </si>
  <si>
    <t>18.17° N, 76.04° E</t>
  </si>
  <si>
    <t>19.71° N, 77.14° E</t>
  </si>
  <si>
    <t>19.26° N, 76.77° E</t>
  </si>
  <si>
    <t>19.15° N, 77.32° E</t>
  </si>
  <si>
    <t>21.14° N, 79.08° E</t>
  </si>
  <si>
    <t>20.74° N, 78.60° E</t>
  </si>
  <si>
    <t>21.17° N, 79.65° E</t>
  </si>
  <si>
    <t>21.46° N, 80.20° E</t>
  </si>
  <si>
    <t>19.95° N, 79.29° E</t>
  </si>
  <si>
    <t>20.18° N, 80.00° E</t>
  </si>
  <si>
    <t>20.93° N, 77.75° E</t>
  </si>
  <si>
    <t>20.70° N, 77.07° E</t>
  </si>
  <si>
    <t>20.38° N, 78.13° E</t>
  </si>
  <si>
    <t>20.53° N, 76.18° E</t>
  </si>
  <si>
    <t>20.10° N, 77.15° E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</si>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</sst>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E2A0D-3460-414E-8313-2312D2E5A903}">
  <dimension ref="A1:S37"/>
  <sheetViews>
    <sheetView tabSelected="1" topLeftCell="R1" workbookViewId="0">
      <selection activeCell="R8" sqref="A1:S37"/>
    </sheetView>
  </sheetViews>
  <sheetFormatPr defaultRowHeight="15" x14ac:dyDescent="0.25"/>
  <cols>
    <col min="1" max="1" width="26.7109375" style="4" bestFit="1" customWidth="1"/>
    <col min="2" max="2" width="12.140625" style="5" bestFit="1" customWidth="1"/>
    <col min="3" max="3" width="34.5703125" style="4" bestFit="1" customWidth="1"/>
    <col min="4" max="4" width="26.7109375" style="4" bestFit="1" customWidth="1"/>
    <col min="5" max="5" width="18" style="6" bestFit="1" customWidth="1"/>
    <col min="6" max="6" width="15" style="6" bestFit="1" customWidth="1"/>
    <col min="7" max="7" width="23.85546875" style="6" bestFit="1" customWidth="1"/>
    <col min="8" max="8" width="29.140625" style="6" bestFit="1" customWidth="1"/>
    <col min="9" max="9" width="8.85546875" style="6" bestFit="1" customWidth="1"/>
    <col min="10" max="10" width="15.5703125" style="7" bestFit="1" customWidth="1"/>
    <col min="11" max="11" width="20.28515625" style="6" bestFit="1" customWidth="1"/>
    <col min="12" max="12" width="14.7109375" style="8" bestFit="1" customWidth="1"/>
    <col min="13" max="13" width="47" style="2" bestFit="1" customWidth="1"/>
    <col min="14" max="14" width="8.42578125" style="9" bestFit="1" customWidth="1"/>
    <col min="15" max="15" width="10" style="9" bestFit="1" customWidth="1"/>
    <col min="16" max="16" width="38.42578125" style="4" bestFit="1" customWidth="1"/>
    <col min="17" max="17" width="48.7109375" style="4" bestFit="1" customWidth="1"/>
    <col min="18" max="18" width="69.7109375" style="4" bestFit="1" customWidth="1"/>
    <col min="19" max="19" width="86.7109375" style="4" bestFit="1" customWidth="1"/>
  </cols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345</v>
      </c>
      <c r="O1" s="1" t="s">
        <v>346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x14ac:dyDescent="0.25">
      <c r="A2" s="4" t="s">
        <v>17</v>
      </c>
      <c r="B2" s="5" t="s">
        <v>18</v>
      </c>
      <c r="C2" s="4" t="s">
        <v>19</v>
      </c>
      <c r="D2" s="4" t="s">
        <v>17</v>
      </c>
      <c r="E2" s="6">
        <v>14</v>
      </c>
      <c r="F2" s="6">
        <v>15643</v>
      </c>
      <c r="G2" s="6">
        <v>9429408</v>
      </c>
      <c r="H2" s="6">
        <v>603</v>
      </c>
      <c r="I2" s="6">
        <v>915</v>
      </c>
      <c r="J2" s="7" t="s">
        <v>20</v>
      </c>
      <c r="K2" s="6" t="s">
        <v>21</v>
      </c>
      <c r="L2" s="8">
        <v>22037</v>
      </c>
      <c r="M2" s="2" t="s">
        <v>309</v>
      </c>
      <c r="N2" s="9" t="str">
        <f>LEFT(M2,FIND(",",M2)-1)</f>
        <v>18.52° N</v>
      </c>
      <c r="O2" s="9" t="str">
        <f>MID(M2,FIND(",",M2)+1,15)</f>
        <v xml:space="preserve"> 73.85° E</v>
      </c>
      <c r="P2" s="4" t="s">
        <v>22</v>
      </c>
      <c r="Q2" s="4" t="s">
        <v>23</v>
      </c>
      <c r="R2" s="4" t="s">
        <v>24</v>
      </c>
      <c r="S2" s="4" t="s">
        <v>25</v>
      </c>
    </row>
    <row r="3" spans="1:19" x14ac:dyDescent="0.25">
      <c r="A3" s="4" t="s">
        <v>26</v>
      </c>
      <c r="B3" s="5" t="s">
        <v>27</v>
      </c>
      <c r="C3" s="4" t="s">
        <v>19</v>
      </c>
      <c r="D3" s="4" t="s">
        <v>26</v>
      </c>
      <c r="E3" s="6">
        <v>11</v>
      </c>
      <c r="F3" s="6">
        <v>10480</v>
      </c>
      <c r="G3" s="6">
        <v>3003741</v>
      </c>
      <c r="H3" s="6">
        <v>287</v>
      </c>
      <c r="I3" s="6">
        <v>988</v>
      </c>
      <c r="J3" s="7" t="s">
        <v>28</v>
      </c>
      <c r="K3" s="6" t="s">
        <v>29</v>
      </c>
      <c r="L3" s="8">
        <v>22037</v>
      </c>
      <c r="M3" s="2" t="s">
        <v>310</v>
      </c>
      <c r="N3" s="9" t="str">
        <f>LEFT(M3,FIND(",",M3)-1)</f>
        <v>17.68° N</v>
      </c>
      <c r="O3" s="9" t="str">
        <f t="shared" ref="O3:O37" si="0">MID(M3,FIND(",",M3)+1,15)</f>
        <v xml:space="preserve"> 74.01° E</v>
      </c>
      <c r="P3" s="4" t="s">
        <v>30</v>
      </c>
      <c r="Q3" s="4" t="s">
        <v>31</v>
      </c>
      <c r="R3" s="4" t="s">
        <v>32</v>
      </c>
      <c r="S3" s="4" t="s">
        <v>33</v>
      </c>
    </row>
    <row r="4" spans="1:19" x14ac:dyDescent="0.25">
      <c r="A4" s="4" t="s">
        <v>34</v>
      </c>
      <c r="B4" s="5" t="s">
        <v>35</v>
      </c>
      <c r="C4" s="4" t="s">
        <v>19</v>
      </c>
      <c r="D4" s="4" t="s">
        <v>34</v>
      </c>
      <c r="E4" s="6">
        <v>10</v>
      </c>
      <c r="F4" s="6">
        <v>8572</v>
      </c>
      <c r="G4" s="6">
        <v>2822143</v>
      </c>
      <c r="H4" s="6">
        <v>329</v>
      </c>
      <c r="I4" s="6">
        <v>966</v>
      </c>
      <c r="J4" s="7" t="s">
        <v>36</v>
      </c>
      <c r="K4" s="6" t="s">
        <v>37</v>
      </c>
      <c r="L4" s="8">
        <v>22037</v>
      </c>
      <c r="M4" s="2" t="s">
        <v>311</v>
      </c>
      <c r="N4" s="9" t="str">
        <f>LEFT(M4,FIND(",",M4)-1)</f>
        <v>16.85° N</v>
      </c>
      <c r="O4" s="9" t="str">
        <f t="shared" si="0"/>
        <v xml:space="preserve"> 74.58° E</v>
      </c>
      <c r="P4" s="4" t="s">
        <v>38</v>
      </c>
      <c r="Q4" s="4" t="s">
        <v>39</v>
      </c>
      <c r="R4" s="4" t="s">
        <v>40</v>
      </c>
      <c r="S4" s="4" t="s">
        <v>41</v>
      </c>
    </row>
    <row r="5" spans="1:19" x14ac:dyDescent="0.25">
      <c r="A5" s="4" t="s">
        <v>42</v>
      </c>
      <c r="B5" s="5" t="s">
        <v>43</v>
      </c>
      <c r="C5" s="4" t="s">
        <v>19</v>
      </c>
      <c r="D5" s="4" t="s">
        <v>42</v>
      </c>
      <c r="E5" s="6">
        <v>11</v>
      </c>
      <c r="F5" s="6">
        <v>14895</v>
      </c>
      <c r="G5" s="6">
        <v>4317756</v>
      </c>
      <c r="H5" s="6">
        <v>290</v>
      </c>
      <c r="I5" s="6">
        <v>938</v>
      </c>
      <c r="J5" s="7" t="s">
        <v>44</v>
      </c>
      <c r="K5" s="6" t="s">
        <v>45</v>
      </c>
      <c r="L5" s="8">
        <v>22037</v>
      </c>
      <c r="M5" s="2" t="s">
        <v>312</v>
      </c>
      <c r="N5" s="9" t="str">
        <f>LEFT(M5,FIND(",",M5)-1)</f>
        <v>17.68° N</v>
      </c>
      <c r="O5" s="9" t="str">
        <f t="shared" si="0"/>
        <v xml:space="preserve"> 75.90° E</v>
      </c>
      <c r="P5" s="4" t="s">
        <v>46</v>
      </c>
      <c r="Q5" s="4" t="s">
        <v>47</v>
      </c>
      <c r="R5" s="4" t="s">
        <v>48</v>
      </c>
      <c r="S5" s="4" t="s">
        <v>49</v>
      </c>
    </row>
    <row r="6" spans="1:19" x14ac:dyDescent="0.25">
      <c r="A6" s="4" t="s">
        <v>50</v>
      </c>
      <c r="B6" s="5" t="s">
        <v>51</v>
      </c>
      <c r="C6" s="4" t="s">
        <v>19</v>
      </c>
      <c r="D6" s="4" t="s">
        <v>50</v>
      </c>
      <c r="E6" s="6">
        <v>12</v>
      </c>
      <c r="F6" s="6">
        <v>7685</v>
      </c>
      <c r="G6" s="6">
        <v>3876001</v>
      </c>
      <c r="H6" s="6">
        <v>504</v>
      </c>
      <c r="I6" s="6">
        <v>957</v>
      </c>
      <c r="J6" s="7" t="s">
        <v>52</v>
      </c>
      <c r="K6" s="6" t="s">
        <v>53</v>
      </c>
      <c r="L6" s="8">
        <v>22037</v>
      </c>
      <c r="M6" s="2" t="s">
        <v>313</v>
      </c>
      <c r="N6" s="9" t="str">
        <f>LEFT(M6,FIND(",",M6)-1)</f>
        <v>16.70° N</v>
      </c>
      <c r="O6" s="9" t="str">
        <f t="shared" si="0"/>
        <v xml:space="preserve"> 74.24° E</v>
      </c>
      <c r="P6" s="4" t="s">
        <v>54</v>
      </c>
      <c r="Q6" s="4" t="s">
        <v>55</v>
      </c>
      <c r="R6" s="4" t="s">
        <v>56</v>
      </c>
      <c r="S6" s="4" t="s">
        <v>57</v>
      </c>
    </row>
    <row r="7" spans="1:19" x14ac:dyDescent="0.25">
      <c r="A7" s="4" t="s">
        <v>58</v>
      </c>
      <c r="B7" s="5" t="s">
        <v>59</v>
      </c>
      <c r="C7" s="4" t="s">
        <v>60</v>
      </c>
      <c r="D7" s="4" t="s">
        <v>61</v>
      </c>
      <c r="E7" s="6">
        <v>0</v>
      </c>
      <c r="F7" s="6">
        <v>157</v>
      </c>
      <c r="G7" s="6">
        <v>2969472</v>
      </c>
      <c r="H7" s="6">
        <v>18914</v>
      </c>
      <c r="I7" s="6">
        <v>832</v>
      </c>
      <c r="J7" s="7" t="s">
        <v>62</v>
      </c>
      <c r="K7" s="6" t="s">
        <v>63</v>
      </c>
      <c r="L7" s="8">
        <v>22037</v>
      </c>
      <c r="M7" s="2" t="s">
        <v>314</v>
      </c>
      <c r="N7" s="9" t="str">
        <f>LEFT(M7,FIND(",",M7)-1)</f>
        <v>18.96° N</v>
      </c>
      <c r="O7" s="9" t="str">
        <f t="shared" si="0"/>
        <v xml:space="preserve"> 72.82° E</v>
      </c>
      <c r="P7" s="4" t="s">
        <v>64</v>
      </c>
      <c r="Q7" s="4" t="s">
        <v>65</v>
      </c>
      <c r="R7" s="4" t="s">
        <v>66</v>
      </c>
      <c r="S7" s="4" t="s">
        <v>67</v>
      </c>
    </row>
    <row r="8" spans="1:19" x14ac:dyDescent="0.25">
      <c r="A8" s="4" t="s">
        <v>68</v>
      </c>
      <c r="B8" s="5" t="s">
        <v>69</v>
      </c>
      <c r="C8" s="4" t="s">
        <v>60</v>
      </c>
      <c r="D8" s="4" t="s">
        <v>70</v>
      </c>
      <c r="E8" s="6">
        <v>3</v>
      </c>
      <c r="F8" s="6">
        <v>446</v>
      </c>
      <c r="G8" s="6">
        <v>9356962</v>
      </c>
      <c r="H8" s="6">
        <v>20980</v>
      </c>
      <c r="I8" s="6">
        <v>860</v>
      </c>
      <c r="J8" s="7" t="s">
        <v>71</v>
      </c>
      <c r="K8" s="6" t="s">
        <v>63</v>
      </c>
      <c r="L8" s="8">
        <v>33147</v>
      </c>
      <c r="M8" s="2" t="s">
        <v>315</v>
      </c>
      <c r="N8" s="9" t="str">
        <f>LEFT(M8,FIND(",",M8)-1)</f>
        <v>19.07° N</v>
      </c>
      <c r="O8" s="9" t="str">
        <f t="shared" si="0"/>
        <v xml:space="preserve"> 72.87° E</v>
      </c>
      <c r="P8" s="4" t="s">
        <v>72</v>
      </c>
      <c r="Q8" s="4" t="s">
        <v>65</v>
      </c>
      <c r="R8" s="4" t="s">
        <v>73</v>
      </c>
      <c r="S8" s="4" t="s">
        <v>74</v>
      </c>
    </row>
    <row r="9" spans="1:19" x14ac:dyDescent="0.25">
      <c r="A9" s="4" t="s">
        <v>75</v>
      </c>
      <c r="B9" s="5" t="s">
        <v>76</v>
      </c>
      <c r="C9" s="4" t="s">
        <v>60</v>
      </c>
      <c r="D9" s="4" t="s">
        <v>75</v>
      </c>
      <c r="E9" s="6">
        <v>7</v>
      </c>
      <c r="F9" s="6">
        <v>4214</v>
      </c>
      <c r="G9" s="6">
        <v>8131377</v>
      </c>
      <c r="H9" s="6">
        <v>1930</v>
      </c>
      <c r="I9" s="6">
        <v>886</v>
      </c>
      <c r="J9" s="7" t="s">
        <v>77</v>
      </c>
      <c r="K9" s="6" t="s">
        <v>78</v>
      </c>
      <c r="L9" s="8">
        <v>22037</v>
      </c>
      <c r="M9" s="2" t="s">
        <v>316</v>
      </c>
      <c r="N9" s="9" t="str">
        <f>LEFT(M9,FIND(",",M9)-1)</f>
        <v>19.21° N</v>
      </c>
      <c r="O9" s="9" t="str">
        <f t="shared" si="0"/>
        <v xml:space="preserve"> 72.97° E</v>
      </c>
      <c r="P9" s="4" t="s">
        <v>79</v>
      </c>
      <c r="Q9" s="4" t="s">
        <v>80</v>
      </c>
      <c r="R9" s="4" t="s">
        <v>81</v>
      </c>
      <c r="S9" s="4" t="s">
        <v>82</v>
      </c>
    </row>
    <row r="10" spans="1:19" x14ac:dyDescent="0.25">
      <c r="A10" s="4" t="s">
        <v>83</v>
      </c>
      <c r="B10" s="5" t="s">
        <v>84</v>
      </c>
      <c r="C10" s="4" t="s">
        <v>60</v>
      </c>
      <c r="D10" s="4" t="s">
        <v>83</v>
      </c>
      <c r="E10" s="6">
        <v>8</v>
      </c>
      <c r="F10" s="6">
        <v>5344</v>
      </c>
      <c r="G10" s="6">
        <v>2990116</v>
      </c>
      <c r="H10" s="6">
        <v>560</v>
      </c>
      <c r="I10" s="6">
        <v>932</v>
      </c>
      <c r="J10" s="7" t="s">
        <v>85</v>
      </c>
      <c r="K10" s="6" t="s">
        <v>86</v>
      </c>
      <c r="L10" s="8">
        <v>41852</v>
      </c>
      <c r="M10" s="2" t="s">
        <v>317</v>
      </c>
      <c r="N10" s="9" t="str">
        <f>LEFT(M10,FIND(",",M10)-1)</f>
        <v>19.69° N</v>
      </c>
      <c r="O10" s="9" t="str">
        <f t="shared" si="0"/>
        <v xml:space="preserve"> 72.77° E</v>
      </c>
      <c r="P10" s="4" t="s">
        <v>87</v>
      </c>
      <c r="Q10" s="4" t="s">
        <v>88</v>
      </c>
      <c r="R10" s="4" t="s">
        <v>89</v>
      </c>
      <c r="S10" s="4" t="s">
        <v>90</v>
      </c>
    </row>
    <row r="11" spans="1:19" x14ac:dyDescent="0.25">
      <c r="A11" s="4" t="s">
        <v>91</v>
      </c>
      <c r="B11" s="5" t="s">
        <v>92</v>
      </c>
      <c r="C11" s="4" t="s">
        <v>60</v>
      </c>
      <c r="D11" s="4" t="s">
        <v>93</v>
      </c>
      <c r="E11" s="6">
        <v>15</v>
      </c>
      <c r="F11" s="6">
        <v>7152</v>
      </c>
      <c r="G11" s="6">
        <v>2634200</v>
      </c>
      <c r="H11" s="6">
        <v>368</v>
      </c>
      <c r="I11" s="6">
        <v>959</v>
      </c>
      <c r="J11" s="7" t="s">
        <v>94</v>
      </c>
      <c r="K11" s="6" t="s">
        <v>95</v>
      </c>
      <c r="L11" s="8">
        <v>22037</v>
      </c>
      <c r="M11" s="2" t="s">
        <v>318</v>
      </c>
      <c r="N11" s="9" t="str">
        <f>LEFT(M11,FIND(",",M11)-1)</f>
        <v>18.65° N</v>
      </c>
      <c r="O11" s="9" t="str">
        <f t="shared" si="0"/>
        <v xml:space="preserve"> 73.07° E</v>
      </c>
      <c r="P11" s="4" t="s">
        <v>96</v>
      </c>
      <c r="Q11" s="4" t="s">
        <v>97</v>
      </c>
      <c r="R11" s="4" t="s">
        <v>98</v>
      </c>
      <c r="S11" s="4" t="s">
        <v>99</v>
      </c>
    </row>
    <row r="12" spans="1:19" x14ac:dyDescent="0.25">
      <c r="A12" s="4" t="s">
        <v>100</v>
      </c>
      <c r="B12" s="5" t="s">
        <v>101</v>
      </c>
      <c r="C12" s="4" t="s">
        <v>60</v>
      </c>
      <c r="D12" s="4" t="s">
        <v>100</v>
      </c>
      <c r="E12" s="6">
        <v>9</v>
      </c>
      <c r="F12" s="6">
        <v>8208</v>
      </c>
      <c r="G12" s="6">
        <v>1615069</v>
      </c>
      <c r="H12" s="6">
        <v>197</v>
      </c>
      <c r="I12" s="6">
        <v>1122</v>
      </c>
      <c r="J12" s="7" t="s">
        <v>102</v>
      </c>
      <c r="K12" s="6" t="s">
        <v>103</v>
      </c>
      <c r="L12" s="8">
        <v>22037</v>
      </c>
      <c r="M12" s="2" t="s">
        <v>319</v>
      </c>
      <c r="N12" s="9" t="str">
        <f>LEFT(M12,FIND(",",M12)-1)</f>
        <v>16.99° N</v>
      </c>
      <c r="O12" s="9" t="str">
        <f t="shared" si="0"/>
        <v xml:space="preserve"> 73.30° E</v>
      </c>
      <c r="P12" s="4" t="s">
        <v>104</v>
      </c>
      <c r="Q12" s="4" t="s">
        <v>105</v>
      </c>
      <c r="R12" s="4" t="s">
        <v>106</v>
      </c>
      <c r="S12" s="4" t="s">
        <v>107</v>
      </c>
    </row>
    <row r="13" spans="1:19" x14ac:dyDescent="0.25">
      <c r="A13" s="4" t="s">
        <v>108</v>
      </c>
      <c r="B13" s="5" t="s">
        <v>109</v>
      </c>
      <c r="C13" s="4" t="s">
        <v>60</v>
      </c>
      <c r="D13" s="4" t="s">
        <v>110</v>
      </c>
      <c r="E13" s="6">
        <v>8</v>
      </c>
      <c r="F13" s="6">
        <v>5207</v>
      </c>
      <c r="G13" s="6">
        <v>849651</v>
      </c>
      <c r="H13" s="6">
        <v>163</v>
      </c>
      <c r="I13" s="6">
        <v>1036</v>
      </c>
      <c r="J13" s="7" t="s">
        <v>111</v>
      </c>
      <c r="K13" s="6" t="s">
        <v>112</v>
      </c>
      <c r="L13" s="8">
        <v>29707</v>
      </c>
      <c r="M13" s="2" t="s">
        <v>320</v>
      </c>
      <c r="N13" s="9" t="str">
        <f>LEFT(M13,FIND(",",M13)-1)</f>
        <v>16.35° N</v>
      </c>
      <c r="O13" s="9" t="str">
        <f t="shared" si="0"/>
        <v xml:space="preserve"> 73.56° E</v>
      </c>
      <c r="P13" s="4" t="s">
        <v>113</v>
      </c>
      <c r="Q13" s="4" t="s">
        <v>114</v>
      </c>
      <c r="R13" s="4" t="s">
        <v>115</v>
      </c>
      <c r="S13" s="4" t="s">
        <v>116</v>
      </c>
    </row>
    <row r="14" spans="1:19" x14ac:dyDescent="0.25">
      <c r="A14" s="4" t="s">
        <v>117</v>
      </c>
      <c r="B14" s="5" t="s">
        <v>118</v>
      </c>
      <c r="C14" s="4" t="s">
        <v>119</v>
      </c>
      <c r="D14" s="4" t="s">
        <v>117</v>
      </c>
      <c r="E14" s="6">
        <v>15</v>
      </c>
      <c r="F14" s="6">
        <v>15530</v>
      </c>
      <c r="G14" s="6">
        <v>6107187</v>
      </c>
      <c r="H14" s="6">
        <v>393</v>
      </c>
      <c r="I14" s="6">
        <v>934</v>
      </c>
      <c r="J14" s="7" t="s">
        <v>120</v>
      </c>
      <c r="K14" s="6" t="s">
        <v>121</v>
      </c>
      <c r="L14" s="8">
        <v>22037</v>
      </c>
      <c r="M14" s="2" t="s">
        <v>321</v>
      </c>
      <c r="N14" s="9" t="str">
        <f>LEFT(M14,FIND(",",M14)-1)</f>
        <v>20.00° N</v>
      </c>
      <c r="O14" s="9" t="str">
        <f t="shared" si="0"/>
        <v xml:space="preserve"> 73.78° E</v>
      </c>
      <c r="P14" s="4" t="s">
        <v>122</v>
      </c>
      <c r="Q14" s="4" t="s">
        <v>123</v>
      </c>
      <c r="R14" s="4" t="s">
        <v>124</v>
      </c>
      <c r="S14" s="4" t="s">
        <v>125</v>
      </c>
    </row>
    <row r="15" spans="1:19" x14ac:dyDescent="0.25">
      <c r="A15" s="4" t="s">
        <v>126</v>
      </c>
      <c r="B15" s="5" t="s">
        <v>127</v>
      </c>
      <c r="C15" s="4" t="s">
        <v>119</v>
      </c>
      <c r="D15" s="4" t="s">
        <v>126</v>
      </c>
      <c r="E15" s="6">
        <v>14</v>
      </c>
      <c r="F15" s="6">
        <v>17048</v>
      </c>
      <c r="G15" s="6">
        <v>4543159</v>
      </c>
      <c r="H15" s="6">
        <v>266</v>
      </c>
      <c r="I15" s="6">
        <v>939</v>
      </c>
      <c r="J15" s="7" t="s">
        <v>128</v>
      </c>
      <c r="K15" s="6" t="s">
        <v>29</v>
      </c>
      <c r="L15" s="8">
        <v>22037</v>
      </c>
      <c r="M15" s="2" t="s">
        <v>322</v>
      </c>
      <c r="N15" s="9" t="str">
        <f>LEFT(M15,FIND(",",M15)-1)</f>
        <v>19.09° N</v>
      </c>
      <c r="O15" s="9" t="str">
        <f t="shared" si="0"/>
        <v xml:space="preserve"> 74.74° E</v>
      </c>
      <c r="P15" s="4" t="s">
        <v>129</v>
      </c>
      <c r="Q15" s="4" t="s">
        <v>130</v>
      </c>
      <c r="R15" s="4" t="s">
        <v>131</v>
      </c>
      <c r="S15" s="4" t="s">
        <v>132</v>
      </c>
    </row>
    <row r="16" spans="1:19" x14ac:dyDescent="0.25">
      <c r="A16" s="4" t="s">
        <v>133</v>
      </c>
      <c r="B16" s="5" t="s">
        <v>134</v>
      </c>
      <c r="C16" s="4" t="s">
        <v>119</v>
      </c>
      <c r="D16" s="4" t="s">
        <v>133</v>
      </c>
      <c r="E16" s="6">
        <v>4</v>
      </c>
      <c r="F16" s="6">
        <v>7195</v>
      </c>
      <c r="G16" s="6">
        <v>2050862</v>
      </c>
      <c r="H16" s="6">
        <v>285</v>
      </c>
      <c r="I16" s="6">
        <v>946</v>
      </c>
      <c r="J16" s="7" t="s">
        <v>135</v>
      </c>
      <c r="K16" s="6" t="s">
        <v>136</v>
      </c>
      <c r="L16" s="8">
        <v>22037</v>
      </c>
      <c r="M16" s="2" t="s">
        <v>323</v>
      </c>
      <c r="N16" s="9" t="str">
        <f>LEFT(M16,FIND(",",M16)-1)</f>
        <v>20.90° N</v>
      </c>
      <c r="O16" s="9" t="str">
        <f t="shared" si="0"/>
        <v xml:space="preserve"> 74.77° E</v>
      </c>
      <c r="P16" s="4" t="s">
        <v>137</v>
      </c>
      <c r="Q16" s="4" t="s">
        <v>138</v>
      </c>
      <c r="R16" s="4" t="s">
        <v>139</v>
      </c>
      <c r="S16" s="4" t="s">
        <v>140</v>
      </c>
    </row>
    <row r="17" spans="1:19" x14ac:dyDescent="0.25">
      <c r="A17" s="4" t="s">
        <v>141</v>
      </c>
      <c r="B17" s="5" t="s">
        <v>142</v>
      </c>
      <c r="C17" s="4" t="s">
        <v>119</v>
      </c>
      <c r="D17" s="4" t="s">
        <v>141</v>
      </c>
      <c r="E17" s="6">
        <v>15</v>
      </c>
      <c r="F17" s="6">
        <v>11765</v>
      </c>
      <c r="G17" s="6">
        <v>4229917</v>
      </c>
      <c r="H17" s="6">
        <v>360</v>
      </c>
      <c r="I17" s="6">
        <v>925</v>
      </c>
      <c r="J17" s="7" t="s">
        <v>143</v>
      </c>
      <c r="K17" s="6" t="s">
        <v>53</v>
      </c>
      <c r="L17" s="8">
        <v>22037</v>
      </c>
      <c r="M17" s="2" t="s">
        <v>324</v>
      </c>
      <c r="N17" s="9" t="str">
        <f>LEFT(M17,FIND(",",M17)-1)</f>
        <v>21.00° N</v>
      </c>
      <c r="O17" s="9" t="str">
        <f t="shared" si="0"/>
        <v xml:space="preserve"> 75.56° E</v>
      </c>
      <c r="P17" s="4" t="s">
        <v>144</v>
      </c>
      <c r="Q17" s="4" t="s">
        <v>145</v>
      </c>
      <c r="R17" s="4" t="s">
        <v>146</v>
      </c>
      <c r="S17" s="4" t="s">
        <v>147</v>
      </c>
    </row>
    <row r="18" spans="1:19" x14ac:dyDescent="0.25">
      <c r="A18" s="4" t="s">
        <v>148</v>
      </c>
      <c r="B18" s="5" t="s">
        <v>149</v>
      </c>
      <c r="C18" s="4" t="s">
        <v>119</v>
      </c>
      <c r="D18" s="4" t="s">
        <v>148</v>
      </c>
      <c r="E18" s="6">
        <v>6</v>
      </c>
      <c r="F18" s="6">
        <v>5955</v>
      </c>
      <c r="G18" s="6">
        <v>1648295</v>
      </c>
      <c r="H18" s="6">
        <v>277</v>
      </c>
      <c r="I18" s="6">
        <v>978</v>
      </c>
      <c r="J18" s="7" t="s">
        <v>150</v>
      </c>
      <c r="K18" s="6" t="s">
        <v>151</v>
      </c>
      <c r="L18" s="8">
        <v>35977</v>
      </c>
      <c r="M18" s="2" t="s">
        <v>325</v>
      </c>
      <c r="N18" s="9" t="str">
        <f>LEFT(M18,FIND(",",M18)-1)</f>
        <v>21.36° N</v>
      </c>
      <c r="O18" s="9" t="str">
        <f t="shared" si="0"/>
        <v xml:space="preserve"> 74.24° E</v>
      </c>
      <c r="P18" s="4" t="s">
        <v>152</v>
      </c>
      <c r="Q18" s="4" t="s">
        <v>153</v>
      </c>
      <c r="R18" s="4" t="s">
        <v>154</v>
      </c>
      <c r="S18" s="4" t="s">
        <v>155</v>
      </c>
    </row>
    <row r="19" spans="1:19" x14ac:dyDescent="0.25">
      <c r="A19" s="4" t="s">
        <v>156</v>
      </c>
      <c r="B19" s="5" t="s">
        <v>157</v>
      </c>
      <c r="C19" s="4" t="s">
        <v>158</v>
      </c>
      <c r="D19" s="4" t="s">
        <v>156</v>
      </c>
      <c r="E19" s="6">
        <v>9</v>
      </c>
      <c r="F19" s="6">
        <v>10107</v>
      </c>
      <c r="G19" s="6">
        <v>3701282</v>
      </c>
      <c r="H19" s="6">
        <v>366</v>
      </c>
      <c r="I19" s="6">
        <v>923</v>
      </c>
      <c r="J19" s="7" t="s">
        <v>159</v>
      </c>
      <c r="K19" s="6" t="s">
        <v>160</v>
      </c>
      <c r="L19" s="8">
        <v>22037</v>
      </c>
      <c r="M19" s="2" t="s">
        <v>326</v>
      </c>
      <c r="N19" s="9" t="str">
        <f>LEFT(M19,FIND(",",M19)-1)</f>
        <v>19.87° N</v>
      </c>
      <c r="O19" s="9" t="str">
        <f t="shared" si="0"/>
        <v xml:space="preserve"> 75.34° E</v>
      </c>
      <c r="P19" s="4" t="s">
        <v>161</v>
      </c>
      <c r="Q19" s="4" t="s">
        <v>162</v>
      </c>
      <c r="R19" s="4" t="s">
        <v>163</v>
      </c>
      <c r="S19" s="4" t="s">
        <v>164</v>
      </c>
    </row>
    <row r="20" spans="1:19" x14ac:dyDescent="0.25">
      <c r="A20" s="4" t="s">
        <v>165</v>
      </c>
      <c r="B20" s="5" t="s">
        <v>166</v>
      </c>
      <c r="C20" s="4" t="s">
        <v>158</v>
      </c>
      <c r="D20" s="4" t="s">
        <v>165</v>
      </c>
      <c r="E20" s="6">
        <v>8</v>
      </c>
      <c r="F20" s="6">
        <v>7718</v>
      </c>
      <c r="G20" s="6">
        <v>1959046</v>
      </c>
      <c r="H20" s="6">
        <v>254</v>
      </c>
      <c r="I20" s="6">
        <v>937</v>
      </c>
      <c r="J20" s="7" t="s">
        <v>167</v>
      </c>
      <c r="K20" s="6" t="s">
        <v>168</v>
      </c>
      <c r="L20" s="8">
        <v>29707</v>
      </c>
      <c r="M20" s="2" t="s">
        <v>327</v>
      </c>
      <c r="N20" s="9" t="str">
        <f>LEFT(M20,FIND(",",M20)-1)</f>
        <v>19.83° N</v>
      </c>
      <c r="O20" s="9" t="str">
        <f t="shared" si="0"/>
        <v xml:space="preserve"> 75.88° E</v>
      </c>
      <c r="P20" s="4" t="s">
        <v>161</v>
      </c>
      <c r="Q20" s="4" t="s">
        <v>169</v>
      </c>
      <c r="R20" s="4" t="s">
        <v>170</v>
      </c>
      <c r="S20" s="4" t="s">
        <v>171</v>
      </c>
    </row>
    <row r="21" spans="1:19" x14ac:dyDescent="0.25">
      <c r="A21" s="4" t="s">
        <v>172</v>
      </c>
      <c r="B21" s="5" t="s">
        <v>173</v>
      </c>
      <c r="C21" s="4" t="s">
        <v>158</v>
      </c>
      <c r="D21" s="4" t="s">
        <v>172</v>
      </c>
      <c r="E21" s="6">
        <v>11</v>
      </c>
      <c r="F21" s="6">
        <v>10693</v>
      </c>
      <c r="G21" s="6">
        <v>2585049</v>
      </c>
      <c r="H21" s="6">
        <v>242</v>
      </c>
      <c r="I21" s="6">
        <v>916</v>
      </c>
      <c r="J21" s="7" t="s">
        <v>174</v>
      </c>
      <c r="K21" s="6" t="s">
        <v>175</v>
      </c>
      <c r="L21" s="8">
        <v>22037</v>
      </c>
      <c r="M21" s="2" t="s">
        <v>328</v>
      </c>
      <c r="N21" s="9" t="str">
        <f>LEFT(M21,FIND(",",M21)-1)</f>
        <v>18.99° N</v>
      </c>
      <c r="O21" s="9" t="str">
        <f t="shared" si="0"/>
        <v xml:space="preserve"> 75.76° E</v>
      </c>
      <c r="P21" s="4" t="s">
        <v>176</v>
      </c>
      <c r="Q21" s="4" t="s">
        <v>177</v>
      </c>
      <c r="R21" s="4" t="s">
        <v>178</v>
      </c>
      <c r="S21" s="4" t="s">
        <v>179</v>
      </c>
    </row>
    <row r="22" spans="1:19" x14ac:dyDescent="0.25">
      <c r="A22" s="4" t="s">
        <v>180</v>
      </c>
      <c r="B22" s="5" t="s">
        <v>181</v>
      </c>
      <c r="C22" s="4" t="s">
        <v>158</v>
      </c>
      <c r="D22" s="4" t="s">
        <v>180</v>
      </c>
      <c r="E22" s="6">
        <v>10</v>
      </c>
      <c r="F22" s="6">
        <v>7157</v>
      </c>
      <c r="G22" s="6">
        <v>2454196</v>
      </c>
      <c r="H22" s="6">
        <v>343</v>
      </c>
      <c r="I22" s="6">
        <v>928</v>
      </c>
      <c r="J22" s="7" t="s">
        <v>182</v>
      </c>
      <c r="K22" s="6" t="s">
        <v>37</v>
      </c>
      <c r="L22" s="8">
        <v>30179</v>
      </c>
      <c r="M22" s="2" t="s">
        <v>329</v>
      </c>
      <c r="N22" s="9" t="str">
        <f>LEFT(M22,FIND(",",M22)-1)</f>
        <v>18.40° N</v>
      </c>
      <c r="O22" s="9" t="str">
        <f t="shared" si="0"/>
        <v xml:space="preserve"> 76.58° E</v>
      </c>
      <c r="P22" s="4" t="s">
        <v>183</v>
      </c>
      <c r="Q22" s="4" t="s">
        <v>184</v>
      </c>
      <c r="R22" s="4" t="s">
        <v>185</v>
      </c>
      <c r="S22" s="4" t="s">
        <v>186</v>
      </c>
    </row>
    <row r="23" spans="1:19" x14ac:dyDescent="0.25">
      <c r="A23" s="4" t="s">
        <v>187</v>
      </c>
      <c r="B23" s="5" t="s">
        <v>188</v>
      </c>
      <c r="C23" s="4" t="s">
        <v>158</v>
      </c>
      <c r="D23" s="4" t="s">
        <v>187</v>
      </c>
      <c r="E23" s="6">
        <v>8</v>
      </c>
      <c r="F23" s="6">
        <v>7569</v>
      </c>
      <c r="G23" s="6">
        <v>1657576</v>
      </c>
      <c r="H23" s="6">
        <v>219</v>
      </c>
      <c r="I23" s="6">
        <v>924</v>
      </c>
      <c r="J23" s="7" t="s">
        <v>189</v>
      </c>
      <c r="K23" s="6" t="s">
        <v>190</v>
      </c>
      <c r="L23" s="8">
        <v>22037</v>
      </c>
      <c r="M23" s="2" t="s">
        <v>330</v>
      </c>
      <c r="N23" s="9" t="str">
        <f>LEFT(M23,FIND(",",M23)-1)</f>
        <v>18.17° N</v>
      </c>
      <c r="O23" s="9" t="str">
        <f t="shared" si="0"/>
        <v xml:space="preserve"> 76.04° E</v>
      </c>
      <c r="P23" s="4" t="s">
        <v>191</v>
      </c>
      <c r="Q23" s="4" t="s">
        <v>192</v>
      </c>
      <c r="R23" s="4" t="s">
        <v>193</v>
      </c>
      <c r="S23" s="4" t="s">
        <v>194</v>
      </c>
    </row>
    <row r="24" spans="1:19" x14ac:dyDescent="0.25">
      <c r="A24" s="4" t="s">
        <v>195</v>
      </c>
      <c r="B24" s="5" t="s">
        <v>196</v>
      </c>
      <c r="C24" s="4" t="s">
        <v>158</v>
      </c>
      <c r="D24" s="4" t="s">
        <v>195</v>
      </c>
      <c r="E24" s="6">
        <v>5</v>
      </c>
      <c r="F24" s="6">
        <v>4526</v>
      </c>
      <c r="G24" s="6">
        <v>1177345</v>
      </c>
      <c r="H24" s="6">
        <v>260</v>
      </c>
      <c r="I24" s="6">
        <v>942</v>
      </c>
      <c r="J24" s="7" t="s">
        <v>197</v>
      </c>
      <c r="K24" s="6" t="s">
        <v>198</v>
      </c>
      <c r="L24" s="8">
        <v>36281</v>
      </c>
      <c r="M24" s="2" t="s">
        <v>331</v>
      </c>
      <c r="N24" s="9" t="str">
        <f>LEFT(M24,FIND(",",M24)-1)</f>
        <v>19.71° N</v>
      </c>
      <c r="O24" s="9" t="str">
        <f t="shared" si="0"/>
        <v xml:space="preserve"> 77.14° E</v>
      </c>
      <c r="P24" s="4" t="s">
        <v>199</v>
      </c>
      <c r="Q24" s="4" t="s">
        <v>200</v>
      </c>
      <c r="R24" s="4" t="s">
        <v>201</v>
      </c>
      <c r="S24" s="4" t="s">
        <v>202</v>
      </c>
    </row>
    <row r="25" spans="1:19" x14ac:dyDescent="0.25">
      <c r="A25" s="4" t="s">
        <v>203</v>
      </c>
      <c r="B25" s="5" t="s">
        <v>204</v>
      </c>
      <c r="C25" s="4" t="s">
        <v>158</v>
      </c>
      <c r="D25" s="4" t="s">
        <v>203</v>
      </c>
      <c r="E25" s="6">
        <v>9</v>
      </c>
      <c r="F25" s="6">
        <v>6517</v>
      </c>
      <c r="G25" s="6">
        <v>1836086</v>
      </c>
      <c r="H25" s="6">
        <v>282</v>
      </c>
      <c r="I25" s="6">
        <v>947</v>
      </c>
      <c r="J25" s="7" t="s">
        <v>205</v>
      </c>
      <c r="K25" s="6" t="s">
        <v>206</v>
      </c>
      <c r="L25" s="8">
        <v>22037</v>
      </c>
      <c r="M25" s="2" t="s">
        <v>332</v>
      </c>
      <c r="N25" s="9" t="str">
        <f>LEFT(M25,FIND(",",M25)-1)</f>
        <v>19.26° N</v>
      </c>
      <c r="O25" s="9" t="str">
        <f t="shared" si="0"/>
        <v xml:space="preserve"> 76.77° E</v>
      </c>
      <c r="P25" s="4" t="s">
        <v>207</v>
      </c>
      <c r="Q25" s="4" t="s">
        <v>208</v>
      </c>
      <c r="R25" s="4" t="s">
        <v>209</v>
      </c>
      <c r="S25" s="4" t="s">
        <v>210</v>
      </c>
    </row>
    <row r="26" spans="1:19" x14ac:dyDescent="0.25">
      <c r="A26" s="4" t="s">
        <v>211</v>
      </c>
      <c r="B26" s="5" t="s">
        <v>212</v>
      </c>
      <c r="C26" s="4" t="s">
        <v>158</v>
      </c>
      <c r="D26" s="4" t="s">
        <v>211</v>
      </c>
      <c r="E26" s="6">
        <v>16</v>
      </c>
      <c r="F26" s="6">
        <v>10528</v>
      </c>
      <c r="G26" s="6">
        <v>3361292</v>
      </c>
      <c r="H26" s="6">
        <v>319</v>
      </c>
      <c r="I26" s="6">
        <v>943</v>
      </c>
      <c r="J26" s="7" t="s">
        <v>213</v>
      </c>
      <c r="K26" s="6" t="s">
        <v>214</v>
      </c>
      <c r="L26" s="8">
        <v>22037</v>
      </c>
      <c r="M26" s="2" t="s">
        <v>333</v>
      </c>
      <c r="N26" s="9" t="str">
        <f>LEFT(M26,FIND(",",M26)-1)</f>
        <v>19.15° N</v>
      </c>
      <c r="O26" s="9" t="str">
        <f t="shared" si="0"/>
        <v xml:space="preserve"> 77.32° E</v>
      </c>
      <c r="P26" s="4" t="s">
        <v>215</v>
      </c>
      <c r="Q26" s="4" t="s">
        <v>216</v>
      </c>
      <c r="R26" s="4" t="s">
        <v>217</v>
      </c>
      <c r="S26" s="4" t="s">
        <v>218</v>
      </c>
    </row>
    <row r="27" spans="1:19" x14ac:dyDescent="0.25">
      <c r="A27" s="4" t="s">
        <v>219</v>
      </c>
      <c r="B27" s="5" t="s">
        <v>220</v>
      </c>
      <c r="C27" s="4" t="s">
        <v>221</v>
      </c>
      <c r="D27" s="4" t="s">
        <v>219</v>
      </c>
      <c r="E27" s="6">
        <v>14</v>
      </c>
      <c r="F27" s="6">
        <v>9892</v>
      </c>
      <c r="G27" s="6">
        <v>4653570</v>
      </c>
      <c r="H27" s="6">
        <v>470</v>
      </c>
      <c r="I27" s="6">
        <v>951</v>
      </c>
      <c r="J27" s="7" t="s">
        <v>222</v>
      </c>
      <c r="K27" s="6" t="s">
        <v>223</v>
      </c>
      <c r="L27" s="8">
        <v>22037</v>
      </c>
      <c r="M27" s="2" t="s">
        <v>334</v>
      </c>
      <c r="N27" s="9" t="str">
        <f>LEFT(M27,FIND(",",M27)-1)</f>
        <v>21.14° N</v>
      </c>
      <c r="O27" s="9" t="str">
        <f t="shared" si="0"/>
        <v xml:space="preserve"> 79.08° E</v>
      </c>
      <c r="P27" s="4" t="s">
        <v>224</v>
      </c>
      <c r="Q27" s="4" t="s">
        <v>225</v>
      </c>
      <c r="R27" s="4" t="s">
        <v>226</v>
      </c>
      <c r="S27" s="4" t="s">
        <v>227</v>
      </c>
    </row>
    <row r="28" spans="1:19" x14ac:dyDescent="0.25">
      <c r="A28" s="4" t="s">
        <v>228</v>
      </c>
      <c r="B28" s="5" t="s">
        <v>229</v>
      </c>
      <c r="C28" s="4" t="s">
        <v>221</v>
      </c>
      <c r="D28" s="4" t="s">
        <v>228</v>
      </c>
      <c r="E28" s="6">
        <v>8</v>
      </c>
      <c r="F28" s="6">
        <v>6309</v>
      </c>
      <c r="G28" s="6">
        <v>1300774</v>
      </c>
      <c r="H28" s="6">
        <v>206</v>
      </c>
      <c r="I28" s="6">
        <v>946</v>
      </c>
      <c r="J28" s="7" t="s">
        <v>230</v>
      </c>
      <c r="K28" s="6" t="s">
        <v>231</v>
      </c>
      <c r="L28" s="8">
        <v>22037</v>
      </c>
      <c r="M28" s="2" t="s">
        <v>335</v>
      </c>
      <c r="N28" s="9" t="str">
        <f>LEFT(M28,FIND(",",M28)-1)</f>
        <v>20.74° N</v>
      </c>
      <c r="O28" s="9" t="str">
        <f t="shared" si="0"/>
        <v xml:space="preserve"> 78.60° E</v>
      </c>
      <c r="P28" s="4" t="s">
        <v>232</v>
      </c>
      <c r="Q28" s="4" t="s">
        <v>233</v>
      </c>
      <c r="R28" s="4" t="s">
        <v>234</v>
      </c>
      <c r="S28" s="4" t="s">
        <v>235</v>
      </c>
    </row>
    <row r="29" spans="1:19" x14ac:dyDescent="0.25">
      <c r="A29" s="4" t="s">
        <v>236</v>
      </c>
      <c r="B29" s="5" t="s">
        <v>237</v>
      </c>
      <c r="C29" s="4" t="s">
        <v>221</v>
      </c>
      <c r="D29" s="4" t="s">
        <v>236</v>
      </c>
      <c r="E29" s="6">
        <v>7</v>
      </c>
      <c r="F29" s="6">
        <v>4087</v>
      </c>
      <c r="G29" s="6">
        <v>1200334</v>
      </c>
      <c r="H29" s="6">
        <v>294</v>
      </c>
      <c r="I29" s="6">
        <v>982</v>
      </c>
      <c r="J29" s="7" t="s">
        <v>238</v>
      </c>
      <c r="K29" s="6" t="s">
        <v>239</v>
      </c>
      <c r="L29" s="8">
        <v>22037</v>
      </c>
      <c r="M29" s="2" t="s">
        <v>336</v>
      </c>
      <c r="N29" s="9" t="str">
        <f>LEFT(M29,FIND(",",M29)-1)</f>
        <v>21.17° N</v>
      </c>
      <c r="O29" s="9" t="str">
        <f t="shared" si="0"/>
        <v xml:space="preserve"> 79.65° E</v>
      </c>
      <c r="P29" s="4" t="s">
        <v>240</v>
      </c>
      <c r="Q29" s="4" t="s">
        <v>241</v>
      </c>
      <c r="R29" s="4" t="s">
        <v>242</v>
      </c>
      <c r="S29" s="4" t="s">
        <v>243</v>
      </c>
    </row>
    <row r="30" spans="1:19" x14ac:dyDescent="0.25">
      <c r="A30" s="4" t="s">
        <v>244</v>
      </c>
      <c r="B30" s="5" t="s">
        <v>245</v>
      </c>
      <c r="C30" s="4" t="s">
        <v>221</v>
      </c>
      <c r="D30" s="4" t="s">
        <v>244</v>
      </c>
      <c r="E30" s="6">
        <v>8</v>
      </c>
      <c r="F30" s="6">
        <v>5431</v>
      </c>
      <c r="G30" s="6">
        <v>1322507</v>
      </c>
      <c r="H30" s="6">
        <v>243</v>
      </c>
      <c r="I30" s="6">
        <v>996</v>
      </c>
      <c r="J30" s="7" t="s">
        <v>246</v>
      </c>
      <c r="K30" s="6" t="s">
        <v>247</v>
      </c>
      <c r="L30" s="8">
        <v>36281</v>
      </c>
      <c r="M30" s="2" t="s">
        <v>337</v>
      </c>
      <c r="N30" s="9" t="str">
        <f>LEFT(M30,FIND(",",M30)-1)</f>
        <v>21.46° N</v>
      </c>
      <c r="O30" s="9" t="str">
        <f t="shared" si="0"/>
        <v xml:space="preserve"> 80.20° E</v>
      </c>
      <c r="P30" s="4" t="s">
        <v>248</v>
      </c>
      <c r="Q30" s="4" t="s">
        <v>249</v>
      </c>
      <c r="R30" s="4" t="s">
        <v>250</v>
      </c>
      <c r="S30" s="4" t="s">
        <v>251</v>
      </c>
    </row>
    <row r="31" spans="1:19" x14ac:dyDescent="0.25">
      <c r="A31" s="4" t="s">
        <v>252</v>
      </c>
      <c r="B31" s="5" t="s">
        <v>253</v>
      </c>
      <c r="C31" s="4" t="s">
        <v>221</v>
      </c>
      <c r="D31" s="4" t="s">
        <v>252</v>
      </c>
      <c r="E31" s="6">
        <v>15</v>
      </c>
      <c r="F31" s="6">
        <v>11443</v>
      </c>
      <c r="G31" s="6">
        <v>2204307</v>
      </c>
      <c r="H31" s="6">
        <v>193</v>
      </c>
      <c r="I31" s="6">
        <v>961</v>
      </c>
      <c r="J31" s="7" t="s">
        <v>254</v>
      </c>
      <c r="K31" s="6" t="s">
        <v>255</v>
      </c>
      <c r="L31" s="8">
        <v>22037</v>
      </c>
      <c r="M31" s="2" t="s">
        <v>338</v>
      </c>
      <c r="N31" s="9" t="str">
        <f>LEFT(M31,FIND(",",M31)-1)</f>
        <v>19.95° N</v>
      </c>
      <c r="O31" s="9" t="str">
        <f t="shared" si="0"/>
        <v xml:space="preserve"> 79.29° E</v>
      </c>
      <c r="P31" s="4" t="s">
        <v>256</v>
      </c>
      <c r="Q31" s="4" t="s">
        <v>257</v>
      </c>
      <c r="R31" s="4" t="s">
        <v>258</v>
      </c>
      <c r="S31" s="4" t="s">
        <v>259</v>
      </c>
    </row>
    <row r="32" spans="1:19" x14ac:dyDescent="0.25">
      <c r="A32" s="4" t="s">
        <v>260</v>
      </c>
      <c r="B32" s="5" t="s">
        <v>261</v>
      </c>
      <c r="C32" s="4" t="s">
        <v>221</v>
      </c>
      <c r="D32" s="4" t="s">
        <v>260</v>
      </c>
      <c r="E32" s="6">
        <v>12</v>
      </c>
      <c r="F32" s="6">
        <v>14412</v>
      </c>
      <c r="G32" s="6">
        <v>1072942</v>
      </c>
      <c r="H32" s="6">
        <v>74</v>
      </c>
      <c r="I32" s="6">
        <v>982</v>
      </c>
      <c r="J32" s="7" t="s">
        <v>262</v>
      </c>
      <c r="K32" s="6" t="s">
        <v>263</v>
      </c>
      <c r="L32" s="8">
        <v>30189</v>
      </c>
      <c r="M32" s="2" t="s">
        <v>339</v>
      </c>
      <c r="N32" s="9" t="str">
        <f>LEFT(M32,FIND(",",M32)-1)</f>
        <v>20.18° N</v>
      </c>
      <c r="O32" s="9" t="str">
        <f t="shared" si="0"/>
        <v xml:space="preserve"> 80.00° E</v>
      </c>
      <c r="P32" s="4" t="s">
        <v>264</v>
      </c>
      <c r="Q32" s="4" t="s">
        <v>265</v>
      </c>
      <c r="R32" s="4" t="s">
        <v>266</v>
      </c>
      <c r="S32" s="4" t="s">
        <v>267</v>
      </c>
    </row>
    <row r="33" spans="1:19" x14ac:dyDescent="0.25">
      <c r="A33" s="4" t="s">
        <v>268</v>
      </c>
      <c r="B33" s="5" t="s">
        <v>269</v>
      </c>
      <c r="C33" s="4" t="s">
        <v>270</v>
      </c>
      <c r="D33" s="4" t="s">
        <v>268</v>
      </c>
      <c r="E33" s="6">
        <v>14</v>
      </c>
      <c r="F33" s="6">
        <v>12210</v>
      </c>
      <c r="G33" s="6">
        <v>2888445</v>
      </c>
      <c r="H33" s="6">
        <v>237</v>
      </c>
      <c r="I33" s="6">
        <v>951</v>
      </c>
      <c r="J33" s="7" t="s">
        <v>271</v>
      </c>
      <c r="K33" s="6" t="s">
        <v>272</v>
      </c>
      <c r="L33" s="8">
        <v>22037</v>
      </c>
      <c r="M33" s="2" t="s">
        <v>340</v>
      </c>
      <c r="N33" s="9" t="str">
        <f>LEFT(M33,FIND(",",M33)-1)</f>
        <v>20.93° N</v>
      </c>
      <c r="O33" s="9" t="str">
        <f t="shared" si="0"/>
        <v xml:space="preserve"> 77.75° E</v>
      </c>
      <c r="P33" s="4" t="s">
        <v>273</v>
      </c>
      <c r="Q33" s="4" t="s">
        <v>274</v>
      </c>
      <c r="R33" s="4" t="s">
        <v>275</v>
      </c>
      <c r="S33" s="4" t="s">
        <v>276</v>
      </c>
    </row>
    <row r="34" spans="1:19" x14ac:dyDescent="0.25">
      <c r="A34" s="4" t="s">
        <v>277</v>
      </c>
      <c r="B34" s="5" t="s">
        <v>278</v>
      </c>
      <c r="C34" s="4" t="s">
        <v>270</v>
      </c>
      <c r="D34" s="4" t="s">
        <v>277</v>
      </c>
      <c r="E34" s="6">
        <v>7</v>
      </c>
      <c r="F34" s="6">
        <v>5676</v>
      </c>
      <c r="G34" s="6">
        <v>1813906</v>
      </c>
      <c r="H34" s="6">
        <v>319</v>
      </c>
      <c r="I34" s="6">
        <v>946</v>
      </c>
      <c r="J34" s="7" t="s">
        <v>279</v>
      </c>
      <c r="K34" s="6" t="s">
        <v>280</v>
      </c>
      <c r="L34" s="8">
        <v>22037</v>
      </c>
      <c r="M34" s="2" t="s">
        <v>341</v>
      </c>
      <c r="N34" s="9" t="str">
        <f>LEFT(M34,FIND(",",M34)-1)</f>
        <v>20.70° N</v>
      </c>
      <c r="O34" s="9" t="str">
        <f t="shared" si="0"/>
        <v xml:space="preserve"> 77.07° E</v>
      </c>
      <c r="P34" s="4" t="s">
        <v>281</v>
      </c>
      <c r="Q34" s="4" t="s">
        <v>282</v>
      </c>
      <c r="R34" s="4" t="s">
        <v>283</v>
      </c>
      <c r="S34" s="4" t="s">
        <v>284</v>
      </c>
    </row>
    <row r="35" spans="1:19" x14ac:dyDescent="0.25">
      <c r="A35" s="4" t="s">
        <v>285</v>
      </c>
      <c r="B35" s="5" t="s">
        <v>286</v>
      </c>
      <c r="C35" s="4" t="s">
        <v>270</v>
      </c>
      <c r="D35" s="4" t="s">
        <v>285</v>
      </c>
      <c r="E35" s="6">
        <v>16</v>
      </c>
      <c r="F35" s="6">
        <v>13582</v>
      </c>
      <c r="G35" s="6">
        <v>2772348</v>
      </c>
      <c r="H35" s="6">
        <v>204</v>
      </c>
      <c r="I35" s="6">
        <v>952</v>
      </c>
      <c r="J35" s="7" t="s">
        <v>287</v>
      </c>
      <c r="K35" s="6" t="s">
        <v>288</v>
      </c>
      <c r="L35" s="8">
        <v>22037</v>
      </c>
      <c r="M35" s="2" t="s">
        <v>342</v>
      </c>
      <c r="N35" s="9" t="str">
        <f>LEFT(M35,FIND(",",M35)-1)</f>
        <v>20.38° N</v>
      </c>
      <c r="O35" s="9" t="str">
        <f t="shared" si="0"/>
        <v xml:space="preserve"> 78.13° E</v>
      </c>
      <c r="P35" s="4" t="s">
        <v>289</v>
      </c>
      <c r="Q35" s="4" t="s">
        <v>290</v>
      </c>
      <c r="R35" s="4" t="s">
        <v>291</v>
      </c>
      <c r="S35" s="4" t="s">
        <v>292</v>
      </c>
    </row>
    <row r="36" spans="1:19" x14ac:dyDescent="0.25">
      <c r="A36" s="4" t="s">
        <v>293</v>
      </c>
      <c r="B36" s="5" t="s">
        <v>294</v>
      </c>
      <c r="C36" s="4" t="s">
        <v>270</v>
      </c>
      <c r="D36" s="4" t="s">
        <v>293</v>
      </c>
      <c r="E36" s="6">
        <v>13</v>
      </c>
      <c r="F36" s="6">
        <v>9681</v>
      </c>
      <c r="G36" s="6">
        <v>2586258</v>
      </c>
      <c r="H36" s="6">
        <v>267</v>
      </c>
      <c r="I36" s="6">
        <v>934</v>
      </c>
      <c r="J36" s="7" t="s">
        <v>295</v>
      </c>
      <c r="K36" s="6" t="s">
        <v>296</v>
      </c>
      <c r="L36" s="8">
        <v>22037</v>
      </c>
      <c r="M36" s="2" t="s">
        <v>343</v>
      </c>
      <c r="N36" s="9" t="str">
        <f>LEFT(M36,FIND(",",M36)-1)</f>
        <v>20.53° N</v>
      </c>
      <c r="O36" s="9" t="str">
        <f t="shared" si="0"/>
        <v xml:space="preserve"> 76.18° E</v>
      </c>
      <c r="P36" s="4" t="s">
        <v>297</v>
      </c>
      <c r="Q36" s="4" t="s">
        <v>298</v>
      </c>
      <c r="R36" s="4" t="s">
        <v>299</v>
      </c>
      <c r="S36" s="4" t="s">
        <v>300</v>
      </c>
    </row>
    <row r="37" spans="1:19" x14ac:dyDescent="0.25">
      <c r="A37" s="4" t="s">
        <v>301</v>
      </c>
      <c r="B37" s="5" t="s">
        <v>302</v>
      </c>
      <c r="C37" s="4" t="s">
        <v>270</v>
      </c>
      <c r="D37" s="4" t="s">
        <v>301</v>
      </c>
      <c r="E37" s="6">
        <v>6</v>
      </c>
      <c r="F37" s="6">
        <v>5150</v>
      </c>
      <c r="G37" s="6">
        <v>1197160</v>
      </c>
      <c r="H37" s="6">
        <v>232</v>
      </c>
      <c r="I37" s="6">
        <v>930</v>
      </c>
      <c r="J37" s="7" t="s">
        <v>303</v>
      </c>
      <c r="K37" s="6" t="s">
        <v>304</v>
      </c>
      <c r="L37" s="8">
        <v>35977</v>
      </c>
      <c r="M37" s="2" t="s">
        <v>344</v>
      </c>
      <c r="N37" s="9" t="str">
        <f>LEFT(M37,FIND(",",M37)-1)</f>
        <v>20.10° N</v>
      </c>
      <c r="O37" s="9" t="str">
        <f t="shared" si="0"/>
        <v xml:space="preserve"> 77.15° E</v>
      </c>
      <c r="P37" s="4" t="s">
        <v>305</v>
      </c>
      <c r="Q37" s="4" t="s">
        <v>306</v>
      </c>
      <c r="R37" s="4" t="s">
        <v>307</v>
      </c>
      <c r="S37" s="4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4111421064</dc:creator>
  <cp:lastModifiedBy>4111421064</cp:lastModifiedBy>
  <dcterms:created xsi:type="dcterms:W3CDTF">2025-11-09T07:59:31Z</dcterms:created>
  <dcterms:modified xsi:type="dcterms:W3CDTF">2025-11-09T09:03:04Z</dcterms:modified>
</cp:coreProperties>
</file>